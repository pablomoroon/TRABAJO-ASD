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4d9ba34e02ff95/Escritorio/US/3º/2º CUATRIMESTRE/ASD/TRABAJO-ASD/"/>
    </mc:Choice>
  </mc:AlternateContent>
  <xr:revisionPtr revIDLastSave="161" documentId="8_{224F6AC1-D5D9-4E39-93DA-166DED78EC11}" xr6:coauthVersionLast="47" xr6:coauthVersionMax="47" xr10:uidLastSave="{953D6FA2-5A3F-4DAD-8FCD-F80F0FCC5AEE}"/>
  <bookViews>
    <workbookView xWindow="-108" yWindow="-108" windowWidth="23256" windowHeight="12456" xr2:uid="{7F44F516-FBB9-4CC1-AFE1-16562D403CA9}"/>
  </bookViews>
  <sheets>
    <sheet name="Tiempo vs tamaño de la matriz" sheetId="1" r:id="rId1"/>
    <sheet name="Mejora distintas optimizacione " sheetId="5" r:id="rId2"/>
    <sheet name="Tiempo vs número de hilos" sheetId="2" r:id="rId3"/>
    <sheet name="Speedup (aceleración)" sheetId="3" r:id="rId4"/>
    <sheet name="Eficienci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2" i="1"/>
  <c r="F23" i="1"/>
  <c r="F24" i="1"/>
  <c r="F20" i="1"/>
  <c r="F8" i="3"/>
  <c r="F7" i="3"/>
  <c r="F6" i="3"/>
  <c r="F5" i="3"/>
  <c r="F4" i="3"/>
  <c r="F5" i="2"/>
  <c r="F6" i="2"/>
  <c r="F7" i="2"/>
  <c r="F8" i="2"/>
  <c r="F4" i="2"/>
  <c r="E21" i="1"/>
  <c r="E22" i="1"/>
  <c r="E23" i="1"/>
  <c r="E24" i="1"/>
  <c r="E20" i="1"/>
  <c r="D21" i="1"/>
  <c r="D22" i="1"/>
  <c r="D23" i="1"/>
  <c r="D24" i="1"/>
  <c r="D20" i="1"/>
</calcChain>
</file>

<file path=xl/sharedStrings.xml><?xml version="1.0" encoding="utf-8"?>
<sst xmlns="http://schemas.openxmlformats.org/spreadsheetml/2006/main" count="41" uniqueCount="18">
  <si>
    <t>Nº de celdas</t>
  </si>
  <si>
    <t>Generaciones</t>
  </si>
  <si>
    <t>Tiempo 1</t>
  </si>
  <si>
    <t>Tiempo 2</t>
  </si>
  <si>
    <t>Tiempo 3</t>
  </si>
  <si>
    <t>Tiempo medio</t>
  </si>
  <si>
    <t>Filas</t>
  </si>
  <si>
    <t>Columnas</t>
  </si>
  <si>
    <t>Hilos</t>
  </si>
  <si>
    <t>Tiempo medio (No Optimizado)</t>
  </si>
  <si>
    <t>NO OPTIMIZADO</t>
  </si>
  <si>
    <t>OPTIMIZADO</t>
  </si>
  <si>
    <t>Tiempo medio (Optimizado)</t>
  </si>
  <si>
    <t>OPTIMIZADO (OPENMP+DESENRROLLADO)</t>
  </si>
  <si>
    <t>OPTIMIZADO (OPENMP+DESENRROLLADO+MPI)</t>
  </si>
  <si>
    <t>Tamaño celda</t>
  </si>
  <si>
    <t>1000x1000</t>
  </si>
  <si>
    <t>Tipo de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</si>
</sst>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 de ejecución según el tamaño del tablero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'Tiempo vs tamaño de la matriz'!$D$20:$D$24</c:f>
              <c:numCache>
                <c:formatCode>General</c:formatCode>
                <c:ptCount val="5"/>
                <c:pt idx="0">
                  <c:v>10000</c:v>
                </c:pt>
                <c:pt idx="1">
                  <c:v>40000</c:v>
                </c:pt>
                <c:pt idx="2">
                  <c:v>160000</c:v>
                </c:pt>
                <c:pt idx="3">
                  <c:v>640000</c:v>
                </c:pt>
                <c:pt idx="4">
                  <c:v>1000000</c:v>
                </c:pt>
              </c:numCache>
            </c:numRef>
          </c:cat>
          <c:val>
            <c:numRef>
              <c:f>'Tiempo vs tamaño de la matriz'!$E$20:$E$24</c:f>
              <c:numCache>
                <c:formatCode>0.000</c:formatCode>
                <c:ptCount val="5"/>
                <c:pt idx="0">
                  <c:v>1.4521346666666668</c:v>
                </c:pt>
                <c:pt idx="1">
                  <c:v>5.0433236666666668</c:v>
                </c:pt>
                <c:pt idx="2">
                  <c:v>18.640733999999998</c:v>
                </c:pt>
                <c:pt idx="3">
                  <c:v>72.271221333333344</c:v>
                </c:pt>
                <c:pt idx="4">
                  <c:v>100.10557033333333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9-4388-92C9-6ED2AE68496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'Tiempo vs tamaño de la matriz'!$D$20:$D$24</c:f>
              <c:numCache>
                <c:formatCode>General</c:formatCode>
                <c:ptCount val="5"/>
                <c:pt idx="0">
                  <c:v>10000</c:v>
                </c:pt>
                <c:pt idx="1">
                  <c:v>40000</c:v>
                </c:pt>
                <c:pt idx="2">
                  <c:v>160000</c:v>
                </c:pt>
                <c:pt idx="3">
                  <c:v>640000</c:v>
                </c:pt>
                <c:pt idx="4">
                  <c:v>1000000</c:v>
                </c:pt>
              </c:numCache>
            </c:numRef>
          </c:cat>
          <c:val>
            <c:numRef>
              <c:f>'Tiempo vs tamaño de la matriz'!$F$20:$F$24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1-4C05-808E-341F76634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536591"/>
        <c:axId val="1600527951"/>
      </c:barChart>
      <c:catAx>
        <c:axId val="160053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Número</a:t>
                </a:r>
                <a:r>
                  <a:rPr lang="es-ES" baseline="0"/>
                  <a:t> de celdas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0527951"/>
        <c:crosses val="autoZero"/>
        <c:auto val="1"/>
        <c:lblAlgn val="ctr"/>
        <c:lblOffset val="100"/>
        <c:noMultiLvlLbl val="1"/>
      </c:catAx>
      <c:valAx>
        <c:axId val="160052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053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Tiempo de ejecución en función del número de hilos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'Tiempo vs número de hilos'!$B$4:$B$8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'Tiempo vs número de hilos'!$F$4:$F$8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8-4E3D-AD45-B149B4A8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535631"/>
        <c:axId val="1600530351"/>
      </c:scatterChart>
      <c:valAx>
        <c:axId val="160053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0530351"/>
        <c:crosses val="autoZero"/>
        <c:crossBetween val="midCat"/>
      </c:valAx>
      <c:valAx>
        <c:axId val="160053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053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95250</xdr:rowOff>
    </xdr:from>
    <xdr:to>
      <xdr:col>13</xdr:col>
      <xdr:colOff>182880</xdr:colOff>
      <xdr:row>17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155D7D-6D94-348D-73E9-237DB334C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19</xdr:row>
      <xdr:rowOff>179070</xdr:rowOff>
    </xdr:from>
    <xdr:to>
      <xdr:col>11</xdr:col>
      <xdr:colOff>655320</xdr:colOff>
      <xdr:row>24</xdr:row>
      <xdr:rowOff>179070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8AF1989-AD0A-C5DC-DC29-E0F481A48833}"/>
            </a:ext>
          </a:extLst>
        </xdr:cNvPr>
        <xdr:cNvSpPr txBox="1"/>
      </xdr:nvSpPr>
      <xdr:spPr>
        <a:xfrm>
          <a:off x="9037320" y="3653790"/>
          <a:ext cx="3985260" cy="9144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TODAS LAS MEDICIONES</a:t>
          </a:r>
          <a:r>
            <a:rPr lang="es-ES" sz="1100" baseline="0"/>
            <a:t> REALIZADAS SE LLEVAN A CABO EN MODO BENCHMARK, ES DECIR, TENEMOS SOLO EN CUENTA CUANTO TARDA EL ALGORITMO, DEJANDO DE LADO EL TIEMPO DE IMPRESIÓN POR PANTALLA DE LOS ELEMENTOS.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171450</xdr:rowOff>
    </xdr:from>
    <xdr:to>
      <xdr:col>12</xdr:col>
      <xdr:colOff>617220</xdr:colOff>
      <xdr:row>16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440BA6-9604-CF9E-1D51-FF98652D9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E41D-3C7D-4DEA-BD8A-972D6BFF01A7}">
  <dimension ref="B2:G24"/>
  <sheetViews>
    <sheetView tabSelected="1" workbookViewId="0">
      <selection activeCell="G21" sqref="G21"/>
    </sheetView>
  </sheetViews>
  <sheetFormatPr baseColWidth="10" defaultRowHeight="14.4" x14ac:dyDescent="0.3"/>
  <cols>
    <col min="2" max="2" width="14" customWidth="1"/>
    <col min="3" max="3" width="13.33203125" customWidth="1"/>
    <col min="4" max="4" width="14.88671875" customWidth="1"/>
    <col min="5" max="5" width="28.5546875" customWidth="1"/>
    <col min="6" max="6" width="24.109375" customWidth="1"/>
    <col min="7" max="7" width="25.21875" customWidth="1"/>
    <col min="8" max="8" width="14" customWidth="1"/>
  </cols>
  <sheetData>
    <row r="2" spans="2:7" x14ac:dyDescent="0.3">
      <c r="B2" s="5" t="s">
        <v>10</v>
      </c>
      <c r="C2" s="5"/>
      <c r="D2" s="5"/>
      <c r="E2" s="5"/>
      <c r="F2" s="5"/>
      <c r="G2" s="5"/>
    </row>
    <row r="3" spans="2:7" x14ac:dyDescent="0.3">
      <c r="B3" s="2" t="s">
        <v>6</v>
      </c>
      <c r="C3" s="2" t="s">
        <v>7</v>
      </c>
      <c r="D3" s="2" t="s">
        <v>1</v>
      </c>
      <c r="E3" s="2" t="s">
        <v>2</v>
      </c>
      <c r="F3" s="2" t="s">
        <v>3</v>
      </c>
      <c r="G3" s="2" t="s">
        <v>4</v>
      </c>
    </row>
    <row r="4" spans="2:7" x14ac:dyDescent="0.3">
      <c r="B4" s="6">
        <v>100</v>
      </c>
      <c r="C4" s="6">
        <v>100</v>
      </c>
      <c r="D4" s="6">
        <v>1000</v>
      </c>
      <c r="E4" s="7">
        <v>1.6113980000000001</v>
      </c>
      <c r="F4" s="7">
        <v>1.4158440000000001</v>
      </c>
      <c r="G4" s="7">
        <v>1.329162</v>
      </c>
    </row>
    <row r="5" spans="2:7" x14ac:dyDescent="0.3">
      <c r="B5" s="6">
        <v>200</v>
      </c>
      <c r="C5" s="6">
        <v>200</v>
      </c>
      <c r="D5" s="6">
        <v>1000</v>
      </c>
      <c r="E5" s="7">
        <v>5.0053109999999998</v>
      </c>
      <c r="F5" s="7">
        <v>4.5624589999999996</v>
      </c>
      <c r="G5" s="7">
        <v>5.562201</v>
      </c>
    </row>
    <row r="6" spans="2:7" x14ac:dyDescent="0.3">
      <c r="B6" s="6">
        <v>400</v>
      </c>
      <c r="C6" s="6">
        <v>400</v>
      </c>
      <c r="D6" s="6">
        <v>1000</v>
      </c>
      <c r="E6" s="7">
        <v>19.26736</v>
      </c>
      <c r="F6" s="7">
        <v>18.937560000000001</v>
      </c>
      <c r="G6" s="7">
        <v>17.717282000000001</v>
      </c>
    </row>
    <row r="7" spans="2:7" x14ac:dyDescent="0.3">
      <c r="B7" s="6">
        <v>800</v>
      </c>
      <c r="C7" s="6">
        <v>800</v>
      </c>
      <c r="D7" s="6">
        <v>1000</v>
      </c>
      <c r="E7" s="7">
        <v>71.624598000000006</v>
      </c>
      <c r="F7" s="7">
        <v>72.698080000000004</v>
      </c>
      <c r="G7" s="7">
        <v>72.490986000000007</v>
      </c>
    </row>
    <row r="8" spans="2:7" x14ac:dyDescent="0.3">
      <c r="B8" s="6">
        <v>1000</v>
      </c>
      <c r="C8" s="6">
        <v>1000</v>
      </c>
      <c r="D8" s="6">
        <v>1000</v>
      </c>
      <c r="E8" s="7">
        <v>101.41100900000001</v>
      </c>
      <c r="F8" s="7">
        <v>100.48173800000001</v>
      </c>
      <c r="G8" s="7">
        <v>98.423963999999998</v>
      </c>
    </row>
    <row r="10" spans="2:7" x14ac:dyDescent="0.3">
      <c r="B10" s="5" t="s">
        <v>11</v>
      </c>
      <c r="C10" s="5"/>
      <c r="D10" s="5"/>
      <c r="E10" s="5"/>
      <c r="F10" s="5"/>
      <c r="G10" s="5"/>
    </row>
    <row r="11" spans="2:7" x14ac:dyDescent="0.3">
      <c r="B11" s="2" t="s">
        <v>6</v>
      </c>
      <c r="C11" s="2" t="s">
        <v>7</v>
      </c>
      <c r="D11" s="2" t="s">
        <v>1</v>
      </c>
      <c r="E11" s="2" t="s">
        <v>2</v>
      </c>
      <c r="F11" s="2" t="s">
        <v>3</v>
      </c>
      <c r="G11" s="2" t="s">
        <v>4</v>
      </c>
    </row>
    <row r="12" spans="2:7" x14ac:dyDescent="0.3">
      <c r="B12" s="6">
        <v>100</v>
      </c>
      <c r="C12" s="6">
        <v>100</v>
      </c>
      <c r="D12" s="6">
        <v>100</v>
      </c>
      <c r="E12" s="6"/>
      <c r="F12" s="6"/>
      <c r="G12" s="6"/>
    </row>
    <row r="13" spans="2:7" x14ac:dyDescent="0.3">
      <c r="B13" s="6">
        <v>200</v>
      </c>
      <c r="C13" s="6">
        <v>200</v>
      </c>
      <c r="D13" s="6">
        <v>100</v>
      </c>
      <c r="E13" s="6"/>
      <c r="F13" s="6"/>
      <c r="G13" s="6"/>
    </row>
    <row r="14" spans="2:7" x14ac:dyDescent="0.3">
      <c r="B14" s="6">
        <v>400</v>
      </c>
      <c r="C14" s="6">
        <v>400</v>
      </c>
      <c r="D14" s="6">
        <v>100</v>
      </c>
      <c r="E14" s="6"/>
      <c r="F14" s="6"/>
      <c r="G14" s="6"/>
    </row>
    <row r="15" spans="2:7" x14ac:dyDescent="0.3">
      <c r="B15" s="6">
        <v>800</v>
      </c>
      <c r="C15" s="6">
        <v>800</v>
      </c>
      <c r="D15" s="6">
        <v>100</v>
      </c>
      <c r="E15" s="6"/>
      <c r="F15" s="6"/>
      <c r="G15" s="6"/>
    </row>
    <row r="16" spans="2:7" x14ac:dyDescent="0.3">
      <c r="B16" s="6">
        <v>1000</v>
      </c>
      <c r="C16" s="6">
        <v>1000</v>
      </c>
      <c r="D16" s="6">
        <v>100</v>
      </c>
      <c r="E16" s="6"/>
      <c r="F16" s="6"/>
      <c r="G16" s="6"/>
    </row>
    <row r="19" spans="4:6" x14ac:dyDescent="0.3">
      <c r="D19" s="2" t="s">
        <v>0</v>
      </c>
      <c r="E19" s="2" t="s">
        <v>9</v>
      </c>
      <c r="F19" s="2" t="s">
        <v>12</v>
      </c>
    </row>
    <row r="20" spans="4:6" x14ac:dyDescent="0.3">
      <c r="D20" s="6">
        <f>B4*C4</f>
        <v>10000</v>
      </c>
      <c r="E20" s="7">
        <f>AVERAGE(E4:G4)</f>
        <v>1.4521346666666668</v>
      </c>
      <c r="F20" s="7" t="e">
        <f>AVERAGE(E12:G12)</f>
        <v>#DIV/0!</v>
      </c>
    </row>
    <row r="21" spans="4:6" x14ac:dyDescent="0.3">
      <c r="D21" s="6">
        <f>B5*C5</f>
        <v>40000</v>
      </c>
      <c r="E21" s="7">
        <f>AVERAGE(E5:G5)</f>
        <v>5.0433236666666668</v>
      </c>
      <c r="F21" s="7" t="e">
        <f t="shared" ref="F21:F24" si="0">AVERAGE(E13:G13)</f>
        <v>#DIV/0!</v>
      </c>
    </row>
    <row r="22" spans="4:6" x14ac:dyDescent="0.3">
      <c r="D22" s="6">
        <f>B6*C6</f>
        <v>160000</v>
      </c>
      <c r="E22" s="7">
        <f>AVERAGE(E6:G6)</f>
        <v>18.640733999999998</v>
      </c>
      <c r="F22" s="7" t="e">
        <f t="shared" si="0"/>
        <v>#DIV/0!</v>
      </c>
    </row>
    <row r="23" spans="4:6" x14ac:dyDescent="0.3">
      <c r="D23" s="6">
        <f>B7*C7</f>
        <v>640000</v>
      </c>
      <c r="E23" s="7">
        <f>AVERAGE(E7:G7)</f>
        <v>72.271221333333344</v>
      </c>
      <c r="F23" s="7" t="e">
        <f t="shared" si="0"/>
        <v>#DIV/0!</v>
      </c>
    </row>
    <row r="24" spans="4:6" x14ac:dyDescent="0.3">
      <c r="D24" s="6">
        <f>B8*C8</f>
        <v>1000000</v>
      </c>
      <c r="E24" s="7">
        <f>AVERAGE(E8:G8)</f>
        <v>100.10557033333333</v>
      </c>
      <c r="F24" s="7" t="e">
        <f t="shared" si="0"/>
        <v>#DIV/0!</v>
      </c>
    </row>
  </sheetData>
  <mergeCells count="2">
    <mergeCell ref="B2:G2"/>
    <mergeCell ref="B10:G1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78EA-6457-4E02-8C1B-7AB9DF124C34}">
  <dimension ref="B3:G7"/>
  <sheetViews>
    <sheetView workbookViewId="0">
      <selection activeCell="H17" sqref="H17"/>
    </sheetView>
  </sheetViews>
  <sheetFormatPr baseColWidth="10" defaultRowHeight="14.4" x14ac:dyDescent="0.3"/>
  <cols>
    <col min="2" max="2" width="42.5546875" customWidth="1"/>
    <col min="3" max="3" width="15.109375" customWidth="1"/>
    <col min="4" max="4" width="14.21875" customWidth="1"/>
  </cols>
  <sheetData>
    <row r="3" spans="2:7" x14ac:dyDescent="0.3">
      <c r="B3" s="2" t="s">
        <v>17</v>
      </c>
      <c r="C3" s="2" t="s">
        <v>15</v>
      </c>
      <c r="D3" s="2" t="s">
        <v>1</v>
      </c>
      <c r="E3" s="2" t="s">
        <v>2</v>
      </c>
      <c r="F3" s="2" t="s">
        <v>3</v>
      </c>
      <c r="G3" s="2" t="s">
        <v>4</v>
      </c>
    </row>
    <row r="4" spans="2:7" x14ac:dyDescent="0.3">
      <c r="B4" s="8" t="s">
        <v>10</v>
      </c>
      <c r="C4" s="6" t="s">
        <v>16</v>
      </c>
      <c r="D4" s="6">
        <v>1000</v>
      </c>
      <c r="E4" s="7">
        <v>101.41100900000001</v>
      </c>
      <c r="F4" s="7">
        <v>100.48173800000001</v>
      </c>
      <c r="G4" s="7">
        <v>98.423963999999998</v>
      </c>
    </row>
    <row r="5" spans="2:7" x14ac:dyDescent="0.3">
      <c r="B5" s="8" t="s">
        <v>13</v>
      </c>
      <c r="C5" s="6" t="s">
        <v>16</v>
      </c>
      <c r="D5" s="6">
        <v>1000</v>
      </c>
      <c r="E5" s="7"/>
      <c r="F5" s="7"/>
      <c r="G5" s="7"/>
    </row>
    <row r="6" spans="2:7" x14ac:dyDescent="0.3">
      <c r="B6" s="8" t="s">
        <v>13</v>
      </c>
      <c r="C6" s="6" t="s">
        <v>16</v>
      </c>
      <c r="D6" s="6">
        <v>1000</v>
      </c>
      <c r="E6" s="7"/>
      <c r="F6" s="7"/>
      <c r="G6" s="7"/>
    </row>
    <row r="7" spans="2:7" x14ac:dyDescent="0.3">
      <c r="B7" s="8" t="s">
        <v>14</v>
      </c>
      <c r="C7" s="6" t="s">
        <v>16</v>
      </c>
      <c r="D7" s="6">
        <v>1000</v>
      </c>
      <c r="E7" s="7"/>
      <c r="F7" s="7"/>
      <c r="G7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1DEB-188C-4DB1-9AD4-F893FE6A3258}">
  <dimension ref="B3:F8"/>
  <sheetViews>
    <sheetView workbookViewId="0">
      <selection activeCell="F12" sqref="F12"/>
    </sheetView>
  </sheetViews>
  <sheetFormatPr baseColWidth="10" defaultRowHeight="14.4" x14ac:dyDescent="0.3"/>
  <cols>
    <col min="2" max="2" width="13.33203125" customWidth="1"/>
    <col min="4" max="4" width="13.77734375" customWidth="1"/>
    <col min="6" max="6" width="13.44140625" customWidth="1"/>
  </cols>
  <sheetData>
    <row r="3" spans="2:6" x14ac:dyDescent="0.3">
      <c r="B3" s="3" t="s">
        <v>8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 x14ac:dyDescent="0.3">
      <c r="B4" s="4">
        <v>1</v>
      </c>
      <c r="C4" s="4"/>
      <c r="D4" s="4"/>
      <c r="E4" s="4"/>
      <c r="F4" s="1" t="e">
        <f>AVERAGE(C4:E4)</f>
        <v>#DIV/0!</v>
      </c>
    </row>
    <row r="5" spans="2:6" x14ac:dyDescent="0.3">
      <c r="B5" s="4">
        <v>2</v>
      </c>
      <c r="C5" s="4"/>
      <c r="D5" s="4"/>
      <c r="E5" s="4"/>
      <c r="F5" s="1" t="e">
        <f t="shared" ref="F5:F8" si="0">AVERAGE(C5:E5)</f>
        <v>#DIV/0!</v>
      </c>
    </row>
    <row r="6" spans="2:6" x14ac:dyDescent="0.3">
      <c r="B6" s="4">
        <v>4</v>
      </c>
      <c r="C6" s="4"/>
      <c r="D6" s="4"/>
      <c r="E6" s="4"/>
      <c r="F6" s="1" t="e">
        <f t="shared" si="0"/>
        <v>#DIV/0!</v>
      </c>
    </row>
    <row r="7" spans="2:6" x14ac:dyDescent="0.3">
      <c r="B7" s="4">
        <v>8</v>
      </c>
      <c r="C7" s="4"/>
      <c r="D7" s="4"/>
      <c r="E7" s="4"/>
      <c r="F7" s="1" t="e">
        <f t="shared" si="0"/>
        <v>#DIV/0!</v>
      </c>
    </row>
    <row r="8" spans="2:6" x14ac:dyDescent="0.3">
      <c r="B8" s="4">
        <v>10</v>
      </c>
      <c r="C8" s="4"/>
      <c r="D8" s="4"/>
      <c r="E8" s="4"/>
      <c r="F8" s="1" t="e">
        <f t="shared" si="0"/>
        <v>#DIV/0!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2A8C-C0A9-4DEF-9353-02F1205ED9B2}">
  <dimension ref="B3:F8"/>
  <sheetViews>
    <sheetView workbookViewId="0">
      <selection activeCell="E12" sqref="E12"/>
    </sheetView>
  </sheetViews>
  <sheetFormatPr baseColWidth="10" defaultRowHeight="14.4" x14ac:dyDescent="0.3"/>
  <sheetData>
    <row r="3" spans="2:6" x14ac:dyDescent="0.3">
      <c r="B3" s="3" t="s">
        <v>8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 x14ac:dyDescent="0.3">
      <c r="B4" s="4">
        <v>1</v>
      </c>
      <c r="C4" s="4">
        <v>1</v>
      </c>
      <c r="D4" s="4">
        <v>2</v>
      </c>
      <c r="E4" s="4">
        <v>3</v>
      </c>
      <c r="F4" s="1">
        <f>AVERAGE(C4:E4)</f>
        <v>2</v>
      </c>
    </row>
    <row r="5" spans="2:6" x14ac:dyDescent="0.3">
      <c r="B5" s="4">
        <v>2</v>
      </c>
      <c r="C5" s="4">
        <v>4</v>
      </c>
      <c r="D5" s="4">
        <v>5</v>
      </c>
      <c r="E5" s="4">
        <v>6</v>
      </c>
      <c r="F5" s="1">
        <f t="shared" ref="F5:F8" si="0">AVERAGE(C5:E5)</f>
        <v>5</v>
      </c>
    </row>
    <row r="6" spans="2:6" x14ac:dyDescent="0.3">
      <c r="B6" s="4">
        <v>4</v>
      </c>
      <c r="C6" s="4">
        <v>7</v>
      </c>
      <c r="D6" s="4">
        <v>8</v>
      </c>
      <c r="E6" s="4">
        <v>9</v>
      </c>
      <c r="F6" s="1">
        <f t="shared" si="0"/>
        <v>8</v>
      </c>
    </row>
    <row r="7" spans="2:6" x14ac:dyDescent="0.3">
      <c r="B7" s="4">
        <v>8</v>
      </c>
      <c r="C7" s="4">
        <v>10</v>
      </c>
      <c r="D7" s="4">
        <v>11</v>
      </c>
      <c r="E7" s="4">
        <v>12</v>
      </c>
      <c r="F7" s="1">
        <f t="shared" si="0"/>
        <v>11</v>
      </c>
    </row>
    <row r="8" spans="2:6" x14ac:dyDescent="0.3">
      <c r="B8" s="4">
        <v>10</v>
      </c>
      <c r="C8" s="4">
        <v>13</v>
      </c>
      <c r="D8" s="4">
        <v>14</v>
      </c>
      <c r="E8" s="4">
        <v>15</v>
      </c>
      <c r="F8" s="1">
        <f t="shared" si="0"/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BD18-7035-4CD6-847F-50448158232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Tiempo vs tamaño de la matriz</vt:lpstr>
      <vt:lpstr>Mejora distintas optimizacione </vt:lpstr>
      <vt:lpstr>Tiempo vs número de hilos</vt:lpstr>
      <vt:lpstr>Speedup (aceleración)</vt:lpstr>
      <vt:lpstr>Eficiencia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Moron</dc:creator>
  <cp:lastModifiedBy>Pablo Moron</cp:lastModifiedBy>
  <dcterms:created xsi:type="dcterms:W3CDTF">2026-04-28T10:13:20Z</dcterms:created>
  <dcterms:modified xsi:type="dcterms:W3CDTF">2026-04-29T23:12:05Z</dcterms:modified>
</cp:coreProperties>
</file>